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assilenou\Desktop\Maîtrise l'Analyse des Données avec Claude\3- Jour 02\A- REALISATIONS\1- Données Excel - Jour 2 &amp; traités\"/>
    </mc:Choice>
  </mc:AlternateContent>
  <xr:revisionPtr revIDLastSave="0" documentId="13_ncr:1_{7CC28193-D6EA-48AF-9969-0A9C81DD0AA7}" xr6:coauthVersionLast="47" xr6:coauthVersionMax="47" xr10:uidLastSave="{00000000-0000-0000-0000-000000000000}"/>
  <bookViews>
    <workbookView xWindow="-108" yWindow="-108" windowWidth="23256" windowHeight="12456" xr2:uid="{2BCDD783-93B7-41AF-914A-28EF8264940B}"/>
  </bookViews>
  <sheets>
    <sheet name="2026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  <c r="G19" i="1"/>
  <c r="H19" i="1" s="1"/>
  <c r="G18" i="1"/>
  <c r="H18" i="1" s="1"/>
  <c r="G17" i="1"/>
  <c r="H17" i="1" s="1"/>
  <c r="G16" i="1"/>
  <c r="H16" i="1" s="1"/>
  <c r="G15" i="1"/>
  <c r="C19" i="1"/>
  <c r="C18" i="1"/>
  <c r="C17" i="1"/>
  <c r="C16" i="1"/>
  <c r="C15" i="1"/>
  <c r="J11" i="1"/>
  <c r="J12" i="1" s="1"/>
  <c r="G14" i="1"/>
  <c r="H14" i="1" s="1"/>
  <c r="G13" i="1"/>
  <c r="H13" i="1" s="1"/>
  <c r="G12" i="1"/>
  <c r="H12" i="1" s="1"/>
  <c r="G11" i="1"/>
  <c r="H11" i="1" s="1"/>
  <c r="G10" i="1"/>
  <c r="H10" i="1" s="1"/>
  <c r="B77" i="1" s="1"/>
  <c r="C14" i="1"/>
  <c r="C13" i="1"/>
  <c r="C12" i="1"/>
  <c r="C11" i="1"/>
  <c r="C10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28" i="1"/>
  <c r="B82" i="1" l="1"/>
  <c r="B83" i="1"/>
  <c r="B84" i="1"/>
  <c r="C20" i="1"/>
  <c r="B85" i="1"/>
  <c r="B86" i="1"/>
  <c r="G20" i="1"/>
  <c r="B78" i="1"/>
  <c r="B80" i="1"/>
  <c r="B79" i="1"/>
  <c r="B81" i="1"/>
  <c r="H15" i="1"/>
  <c r="H20" i="1" s="1"/>
  <c r="J13" i="1"/>
  <c r="K12" i="1"/>
  <c r="L13" i="1" s="1"/>
  <c r="K11" i="1"/>
  <c r="B87" i="1" l="1"/>
  <c r="L12" i="1"/>
  <c r="J14" i="1"/>
  <c r="K13" i="1"/>
  <c r="L14" i="1" s="1"/>
  <c r="K14" i="1" l="1"/>
  <c r="L15" i="1" s="1"/>
  <c r="J15" i="1"/>
  <c r="J16" i="1" l="1"/>
  <c r="K15" i="1"/>
  <c r="L16" i="1" s="1"/>
  <c r="J17" i="1" l="1"/>
  <c r="K16" i="1"/>
  <c r="J18" i="1" l="1"/>
  <c r="K17" i="1"/>
  <c r="L18" i="1" s="1"/>
  <c r="L17" i="1" l="1"/>
  <c r="K18" i="1"/>
  <c r="L19" i="1" s="1"/>
  <c r="J19" i="1"/>
  <c r="J20" i="1" l="1"/>
  <c r="K19" i="1"/>
  <c r="L20" i="1" s="1"/>
  <c r="K20" i="1" l="1"/>
  <c r="L21" i="1" s="1"/>
  <c r="J21" i="1"/>
  <c r="J22" i="1" l="1"/>
  <c r="K22" i="1" s="1"/>
  <c r="K21" i="1"/>
  <c r="L22" i="1" s="1"/>
  <c r="K24" i="1" l="1"/>
</calcChain>
</file>

<file path=xl/sharedStrings.xml><?xml version="1.0" encoding="utf-8"?>
<sst xmlns="http://schemas.openxmlformats.org/spreadsheetml/2006/main" count="52" uniqueCount="39">
  <si>
    <t>SUIVI MENSUEL DES DÉPENSES</t>
  </si>
  <si>
    <t>SYNTHÈSE PAR CATÉGORIE</t>
  </si>
  <si>
    <t>Catégorie</t>
  </si>
  <si>
    <t>Montant total</t>
  </si>
  <si>
    <t>Loyer</t>
  </si>
  <si>
    <t>Charges</t>
  </si>
  <si>
    <t>Fournitures</t>
  </si>
  <si>
    <t>Marketing</t>
  </si>
  <si>
    <t>Autres</t>
  </si>
  <si>
    <t>TOTAL GÉNÉRAL</t>
  </si>
  <si>
    <t>DÉTAIL DES DÉPENSES</t>
  </si>
  <si>
    <t>Date</t>
  </si>
  <si>
    <t>Description</t>
  </si>
  <si>
    <t>Montant</t>
  </si>
  <si>
    <t>Total cumulé</t>
  </si>
  <si>
    <t>Mois</t>
  </si>
  <si>
    <t>Total dépenses</t>
  </si>
  <si>
    <t>Évolution (%)</t>
  </si>
  <si>
    <t>-</t>
  </si>
  <si>
    <t>TOTAL ANNUEL</t>
  </si>
  <si>
    <t>Budget</t>
  </si>
  <si>
    <t>Dépenses réelles</t>
  </si>
  <si>
    <t>Écart</t>
  </si>
  <si>
    <t>TOTAL</t>
  </si>
  <si>
    <t>Année de suivi</t>
  </si>
  <si>
    <t>ÉVOLUTION MENSUELLE DES DÉPENSES (Suivi mensuel des dépenses)</t>
  </si>
  <si>
    <t>BUDGET PAR CATÉGORIE (Budget Vs Dépenses réelles)</t>
  </si>
  <si>
    <t>Réparation de la voiture du DG</t>
  </si>
  <si>
    <t>COMMENTAIRE AUTOMATIQUE PAR CATÉGORIE</t>
  </si>
  <si>
    <t>Autre 1</t>
  </si>
  <si>
    <t>Autre 2</t>
  </si>
  <si>
    <t>Autre 3</t>
  </si>
  <si>
    <t>Autre 4</t>
  </si>
  <si>
    <t>Autre 5</t>
  </si>
  <si>
    <t>LOGO</t>
  </si>
  <si>
    <t>Nom de la société :</t>
  </si>
  <si>
    <t>Téléphone :</t>
  </si>
  <si>
    <t>Localité :</t>
  </si>
  <si>
    <t>Boîte postale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</si>
</sst>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\ &quot;FCFA&quot;;\(#,##0\)\ &quot;FCFA&quot;;\-"/>
    <numFmt numFmtId="167" formatCode="0.0%;\-0.0%;\-"/>
    <numFmt numFmtId="168" formatCode="mmm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horizontal="right"/>
    </xf>
    <xf numFmtId="0" fontId="0" fillId="0" borderId="3" xfId="0" applyBorder="1"/>
    <xf numFmtId="165" fontId="0" fillId="0" borderId="3" xfId="0" applyNumberFormat="1" applyBorder="1" applyAlignment="1">
      <alignment horizontal="right"/>
    </xf>
    <xf numFmtId="165" fontId="1" fillId="4" borderId="3" xfId="0" applyNumberFormat="1" applyFont="1" applyFill="1" applyBorder="1" applyAlignment="1">
      <alignment horizontal="right"/>
    </xf>
    <xf numFmtId="165" fontId="0" fillId="0" borderId="0" xfId="0" applyNumberFormat="1"/>
    <xf numFmtId="1" fontId="5" fillId="0" borderId="0" xfId="0" applyNumberFormat="1" applyFont="1"/>
    <xf numFmtId="165" fontId="0" fillId="0" borderId="3" xfId="0" applyNumberFormat="1" applyBorder="1"/>
    <xf numFmtId="0" fontId="0" fillId="0" borderId="3" xfId="0" applyBorder="1" applyAlignment="1">
      <alignment horizontal="right"/>
    </xf>
    <xf numFmtId="167" fontId="0" fillId="0" borderId="3" xfId="0" applyNumberFormat="1" applyBorder="1" applyAlignment="1">
      <alignment horizontal="right"/>
    </xf>
    <xf numFmtId="165" fontId="1" fillId="4" borderId="3" xfId="0" applyNumberFormat="1" applyFont="1" applyFill="1" applyBorder="1"/>
    <xf numFmtId="0" fontId="0" fillId="4" borderId="3" xfId="0" applyFill="1" applyBorder="1"/>
    <xf numFmtId="168" fontId="0" fillId="0" borderId="3" xfId="0" applyNumberFormat="1" applyBorder="1"/>
    <xf numFmtId="165" fontId="4" fillId="5" borderId="3" xfId="0" applyNumberFormat="1" applyFont="1" applyFill="1" applyBorder="1"/>
    <xf numFmtId="0" fontId="0" fillId="0" borderId="0" xfId="0"/>
    <xf numFmtId="0" fontId="0" fillId="6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1" fillId="0" borderId="0" xfId="0" applyFont="1" applyAlignment="1">
      <alignment horizontal="right"/>
    </xf>
    <xf numFmtId="0" fontId="6" fillId="6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7" fillId="0" borderId="3" xfId="0" applyFont="1" applyBorder="1"/>
  </cellXfs>
  <cellStyles count="1">
    <cellStyle name="Normal" xfId="0" builtinId="0"/>
  </cellStyles>
  <dxfs count="1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Dépenses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'2026'!$C$9</c:f>
              <c:strCache>
                <c:ptCount val="1"/>
                <c:pt idx="0">
                  <c:v>Montant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'2026'!$B$10:$B$19</c:f>
              <c:strCache>
                <c:ptCount val="10"/>
                <c:pt idx="0">
                  <c:v>Loyer</c:v>
                </c:pt>
                <c:pt idx="1">
                  <c:v>Charges</c:v>
                </c:pt>
                <c:pt idx="2">
                  <c:v>Fournitures</c:v>
                </c:pt>
                <c:pt idx="3">
                  <c:v>Marketing</c:v>
                </c:pt>
                <c:pt idx="4">
                  <c:v>Autres</c:v>
                </c:pt>
                <c:pt idx="5">
                  <c:v>Autre 1</c:v>
                </c:pt>
                <c:pt idx="6">
                  <c:v>Autre 2</c:v>
                </c:pt>
                <c:pt idx="7">
                  <c:v>Autre 3</c:v>
                </c:pt>
                <c:pt idx="8">
                  <c:v>Autre 4</c:v>
                </c:pt>
                <c:pt idx="9">
                  <c:v>Autre 5</c:v>
                </c:pt>
              </c:strCache>
            </c:strRef>
          </c:cat>
          <c:val>
            <c:numRef>
              <c:f>'2026'!$C$10:$C$19</c:f>
              <c:numCache>
                <c:formatCode>#\ ##0\ "FCFA";\(#\ ##0\)\ "FCFA";\-</c:formatCode>
                <c:ptCount val="10"/>
                <c:pt idx="0">
                  <c:v>0</c:v>
                </c:pt>
                <c:pt idx="1">
                  <c:v>1000000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C-4C2A-9A25-DBEB41FF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539967"/>
        <c:axId val="2054538527"/>
      </c:barChart>
      <c:catAx>
        <c:axId val="205453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2054538527"/>
        <c:crosses val="autoZero"/>
        <c:auto val="1"/>
        <c:lblAlgn val="ctr"/>
        <c:lblOffset val="100"/>
        <c:noMultiLvlLbl val="0"/>
      </c:catAx>
      <c:valAx>
        <c:axId val="20545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FCFA&quot;;\(#\ ##0\)\ &quot;FCFA&quot;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205453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9</xdr:col>
      <xdr:colOff>0</xdr:colOff>
      <xdr:row>74</xdr:row>
      <xdr:rowOff>0</xdr:rowOff>
    </xdr:to>
    <xdr:graphicFrame macro="">
      <xdr:nvGraphicFramePr>
        <xdr:cNvPr id="3" name="GraphiqueDepensesParCategorie">
          <a:extLst>
            <a:ext uri="{FF2B5EF4-FFF2-40B4-BE49-F238E27FC236}">
              <a16:creationId xmlns:a16="http://schemas.microsoft.com/office/drawing/2014/main" id="{14DAE483-CAF7-F314-CEEC-D57AC0067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A86AC-FAE0-48B4-8B59-89D98914CAD4}" name="Depenses" displayName="Depenses" ref="B27:F57" totalsRowShown="0">
  <autoFilter ref="B27:F57" xr:uid="{70BA86AC-FAE0-48B4-8B59-89D98914CAD4}"/>
  <tableColumns count="5">
    <tableColumn id="1" xr3:uid="{DC02ED5E-49A8-4605-8806-CE7B5C8C0F5B}" name="Date" dataDxfId="16"/>
    <tableColumn id="2" xr3:uid="{B37C1BDB-B53B-45A5-9483-A4425282A679}" name="Catégorie"/>
    <tableColumn id="3" xr3:uid="{F1AEB2DD-2739-4394-A2FD-ABE495234945}" name="Description"/>
    <tableColumn id="4" xr3:uid="{131E76ED-6D1D-4B79-88FC-441576CE4D72}" name="Montant"/>
    <tableColumn id="5" xr3:uid="{2CA26A53-39CB-48CF-AA05-9838DD336A6D}" name="Total cumulé" dataDxfId="17">
      <calculatedColumnFormula>IF(E28="","",SUM($E$28:E28))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42BC65-E7C7-4597-B52C-E9EB6B452ED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9fcaab7-bef2-4339-8d6f-17c306e344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1049-5FA8-4276-9A56-1F2C29C720C1}">
  <sheetPr>
    <pageSetUpPr fitToPage="1"/>
  </sheetPr>
  <dimension ref="B1:L87"/>
  <sheetViews>
    <sheetView tabSelected="1" topLeftCell="A53" zoomScaleNormal="100" workbookViewId="0">
      <selection activeCell="H26" sqref="H26"/>
    </sheetView>
  </sheetViews>
  <sheetFormatPr baseColWidth="10" defaultRowHeight="14.4" x14ac:dyDescent="0.3"/>
  <cols>
    <col min="2" max="2" width="16.6640625" customWidth="1"/>
    <col min="3" max="3" width="18.5546875" customWidth="1"/>
    <col min="4" max="4" width="37" customWidth="1"/>
    <col min="5" max="6" width="18.5546875" customWidth="1"/>
    <col min="7" max="7" width="20.33203125" customWidth="1"/>
    <col min="8" max="8" width="18.5546875" customWidth="1"/>
    <col min="9" max="9" width="3.6640625" customWidth="1"/>
    <col min="10" max="10" width="16.6640625" customWidth="1"/>
    <col min="11" max="11" width="20.33203125" customWidth="1"/>
    <col min="12" max="12" width="20.44140625" customWidth="1"/>
  </cols>
  <sheetData>
    <row r="1" spans="2:12" ht="16.05" customHeight="1" x14ac:dyDescent="0.3">
      <c r="B1" s="24" t="s">
        <v>34</v>
      </c>
      <c r="C1" s="24"/>
      <c r="D1" s="23" t="s">
        <v>35</v>
      </c>
      <c r="F1" s="25"/>
      <c r="G1" s="25"/>
      <c r="H1" s="25"/>
    </row>
    <row r="2" spans="2:12" ht="16.05" customHeight="1" x14ac:dyDescent="0.3">
      <c r="B2" s="24"/>
      <c r="C2" s="24"/>
      <c r="D2" s="23" t="s">
        <v>36</v>
      </c>
      <c r="F2" s="27"/>
      <c r="G2" s="27"/>
      <c r="H2" s="27"/>
    </row>
    <row r="3" spans="2:12" ht="16.05" customHeight="1" x14ac:dyDescent="0.3">
      <c r="B3" s="24"/>
      <c r="C3" s="24"/>
      <c r="D3" s="23" t="s">
        <v>37</v>
      </c>
      <c r="F3" s="27"/>
      <c r="G3" s="27"/>
      <c r="H3" s="27"/>
    </row>
    <row r="4" spans="2:12" ht="16.05" customHeight="1" x14ac:dyDescent="0.3">
      <c r="B4" s="24"/>
      <c r="C4" s="24"/>
      <c r="D4" s="23" t="s">
        <v>38</v>
      </c>
      <c r="F4" s="26"/>
      <c r="G4" s="26"/>
      <c r="H4" s="26"/>
    </row>
    <row r="5" spans="2:12" ht="16.05" customHeight="1" x14ac:dyDescent="0.3">
      <c r="B5" s="24"/>
      <c r="C5" s="24"/>
    </row>
    <row r="6" spans="2:12" ht="21" x14ac:dyDescent="0.4">
      <c r="B6" s="3" t="s">
        <v>0</v>
      </c>
      <c r="C6" s="3"/>
      <c r="D6" s="3"/>
      <c r="E6" s="3"/>
      <c r="F6" s="3"/>
    </row>
    <row r="8" spans="2:12" x14ac:dyDescent="0.3">
      <c r="B8" s="4" t="s">
        <v>1</v>
      </c>
      <c r="C8" s="4"/>
      <c r="E8" s="4" t="s">
        <v>26</v>
      </c>
      <c r="F8" s="4"/>
      <c r="G8" s="4"/>
      <c r="H8" s="4"/>
      <c r="J8" s="4" t="s">
        <v>25</v>
      </c>
      <c r="K8" s="4"/>
      <c r="L8" s="4"/>
    </row>
    <row r="9" spans="2:12" x14ac:dyDescent="0.3">
      <c r="B9" s="5" t="s">
        <v>2</v>
      </c>
      <c r="C9" s="6" t="s">
        <v>3</v>
      </c>
      <c r="E9" s="5" t="s">
        <v>2</v>
      </c>
      <c r="F9" s="6" t="s">
        <v>20</v>
      </c>
      <c r="G9" s="6" t="s">
        <v>21</v>
      </c>
      <c r="H9" s="6" t="s">
        <v>22</v>
      </c>
      <c r="J9" s="1" t="s">
        <v>24</v>
      </c>
      <c r="K9" s="11">
        <v>2026</v>
      </c>
    </row>
    <row r="10" spans="2:12" ht="15.6" x14ac:dyDescent="0.3">
      <c r="B10" s="28" t="s">
        <v>4</v>
      </c>
      <c r="C10" s="8">
        <f>SUMIF(Depenses[Catégorie],B10,Depenses[Montant])</f>
        <v>0</v>
      </c>
      <c r="E10" s="28" t="s">
        <v>4</v>
      </c>
      <c r="F10" s="18">
        <v>2500000</v>
      </c>
      <c r="G10" s="12">
        <f>SUMIF(Depenses[Catégorie],E10,Depenses[Montant])</f>
        <v>0</v>
      </c>
      <c r="H10" s="12">
        <f>G10-F10</f>
        <v>-2500000</v>
      </c>
      <c r="J10" s="5" t="s">
        <v>15</v>
      </c>
      <c r="K10" s="6" t="s">
        <v>16</v>
      </c>
      <c r="L10" s="6" t="s">
        <v>17</v>
      </c>
    </row>
    <row r="11" spans="2:12" ht="15.6" x14ac:dyDescent="0.3">
      <c r="B11" s="28" t="s">
        <v>5</v>
      </c>
      <c r="C11" s="8">
        <f>SUMIF(Depenses[Catégorie],B11,Depenses[Montant])</f>
        <v>1000000</v>
      </c>
      <c r="E11" s="28" t="s">
        <v>5</v>
      </c>
      <c r="F11" s="18">
        <v>6900000</v>
      </c>
      <c r="G11" s="12">
        <f>SUMIF(Depenses[Catégorie],E11,Depenses[Montant])</f>
        <v>1000000</v>
      </c>
      <c r="H11" s="12">
        <f>G11-F11</f>
        <v>-5900000</v>
      </c>
      <c r="J11" s="17">
        <f>DATE($K$9,1,1)</f>
        <v>46023</v>
      </c>
      <c r="K11" s="12">
        <f>SUMIFS(Depenses[Montant],Depenses[Date],"&gt;="&amp;J11,Depenses[Date],"&lt;"&amp;EOMONTH(J11,0)+1)</f>
        <v>0</v>
      </c>
      <c r="L11" s="13" t="s">
        <v>18</v>
      </c>
    </row>
    <row r="12" spans="2:12" ht="15.6" x14ac:dyDescent="0.3">
      <c r="B12" s="28" t="s">
        <v>6</v>
      </c>
      <c r="C12" s="8">
        <f>SUMIF(Depenses[Catégorie],B12,Depenses[Montant])</f>
        <v>0</v>
      </c>
      <c r="E12" s="28" t="s">
        <v>6</v>
      </c>
      <c r="F12" s="18">
        <v>1500000</v>
      </c>
      <c r="G12" s="12">
        <f>SUMIF(Depenses[Catégorie],E12,Depenses[Montant])</f>
        <v>0</v>
      </c>
      <c r="H12" s="12">
        <f>G12-F12</f>
        <v>-1500000</v>
      </c>
      <c r="J12" s="17">
        <f>EOMONTH(J11,0)+1</f>
        <v>46054</v>
      </c>
      <c r="K12" s="12">
        <f>SUMIFS(Depenses[Montant],Depenses[Date],"&gt;="&amp;J12,Depenses[Date],"&lt;"&amp;EOMONTH(J12,0)+1)</f>
        <v>0</v>
      </c>
      <c r="L12" s="14" t="str">
        <f>IF(K11=0,"-",(K12-K11)/K11)</f>
        <v>-</v>
      </c>
    </row>
    <row r="13" spans="2:12" ht="15.6" x14ac:dyDescent="0.3">
      <c r="B13" s="28" t="s">
        <v>7</v>
      </c>
      <c r="C13" s="8">
        <f>SUMIF(Depenses[Catégorie],B13,Depenses[Montant])</f>
        <v>0</v>
      </c>
      <c r="E13" s="28" t="s">
        <v>7</v>
      </c>
      <c r="F13" s="18">
        <v>3500000</v>
      </c>
      <c r="G13" s="12">
        <f>SUMIF(Depenses[Catégorie],E13,Depenses[Montant])</f>
        <v>0</v>
      </c>
      <c r="H13" s="12">
        <f>G13-F13</f>
        <v>-3500000</v>
      </c>
      <c r="J13" s="17">
        <f t="shared" ref="J13:J22" si="0">EOMONTH(J12,0)+1</f>
        <v>46082</v>
      </c>
      <c r="K13" s="12">
        <f>SUMIFS(Depenses[Montant],Depenses[Date],"&gt;="&amp;J13,Depenses[Date],"&lt;"&amp;EOMONTH(J13,0)+1)</f>
        <v>0</v>
      </c>
      <c r="L13" s="14" t="str">
        <f t="shared" ref="L13:L22" si="1">IF(K12=0,"-",(K13-K12)/K12)</f>
        <v>-</v>
      </c>
    </row>
    <row r="14" spans="2:12" ht="15.6" x14ac:dyDescent="0.3">
      <c r="B14" s="28" t="s">
        <v>8</v>
      </c>
      <c r="C14" s="8">
        <f>SUMIF(Depenses[Catégorie],B14,Depenses[Montant])</f>
        <v>0</v>
      </c>
      <c r="E14" s="28" t="s">
        <v>8</v>
      </c>
      <c r="F14" s="18">
        <v>2200000</v>
      </c>
      <c r="G14" s="12">
        <f>SUMIF(Depenses[Catégorie],E14,Depenses[Montant])</f>
        <v>0</v>
      </c>
      <c r="H14" s="12">
        <f>G14-F14</f>
        <v>-2200000</v>
      </c>
      <c r="J14" s="17">
        <f t="shared" si="0"/>
        <v>46113</v>
      </c>
      <c r="K14" s="12">
        <f>SUMIFS(Depenses[Montant],Depenses[Date],"&gt;="&amp;J14,Depenses[Date],"&lt;"&amp;EOMONTH(J14,0)+1)</f>
        <v>0</v>
      </c>
      <c r="L14" s="14" t="str">
        <f t="shared" si="1"/>
        <v>-</v>
      </c>
    </row>
    <row r="15" spans="2:12" ht="15.6" x14ac:dyDescent="0.3">
      <c r="B15" s="28" t="s">
        <v>29</v>
      </c>
      <c r="C15" s="8">
        <f>SUMIF(Depenses[Catégorie],B15,Depenses[Montant])</f>
        <v>0</v>
      </c>
      <c r="E15" s="28" t="s">
        <v>29</v>
      </c>
      <c r="F15" s="18">
        <v>0</v>
      </c>
      <c r="G15" s="12">
        <f>SUMIF(Depenses[Catégorie],E15,Depenses[Montant])</f>
        <v>0</v>
      </c>
      <c r="H15" s="12">
        <f>G15-F15</f>
        <v>0</v>
      </c>
      <c r="J15" s="17">
        <f t="shared" si="0"/>
        <v>46143</v>
      </c>
      <c r="K15" s="12">
        <f>SUMIFS(Depenses[Montant],Depenses[Date],"&gt;="&amp;J15,Depenses[Date],"&lt;"&amp;EOMONTH(J15,0)+1)</f>
        <v>0</v>
      </c>
      <c r="L15" s="14" t="str">
        <f t="shared" si="1"/>
        <v>-</v>
      </c>
    </row>
    <row r="16" spans="2:12" ht="15.6" x14ac:dyDescent="0.3">
      <c r="B16" s="28" t="s">
        <v>30</v>
      </c>
      <c r="C16" s="8">
        <f>SUMIF(Depenses[Catégorie],B16,Depenses[Montant])</f>
        <v>0</v>
      </c>
      <c r="E16" s="28" t="s">
        <v>30</v>
      </c>
      <c r="F16" s="18">
        <v>0</v>
      </c>
      <c r="G16" s="12">
        <f>SUMIF(Depenses[Catégorie],E16,Depenses[Montant])</f>
        <v>0</v>
      </c>
      <c r="H16" s="12">
        <f>G16-F16</f>
        <v>0</v>
      </c>
      <c r="J16" s="17">
        <f t="shared" si="0"/>
        <v>46174</v>
      </c>
      <c r="K16" s="12">
        <f>SUMIFS(Depenses[Montant],Depenses[Date],"&gt;="&amp;J16,Depenses[Date],"&lt;"&amp;EOMONTH(J16,0)+1)</f>
        <v>1000000</v>
      </c>
      <c r="L16" s="14" t="str">
        <f t="shared" si="1"/>
        <v>-</v>
      </c>
    </row>
    <row r="17" spans="2:12" ht="15.6" x14ac:dyDescent="0.3">
      <c r="B17" s="28" t="s">
        <v>31</v>
      </c>
      <c r="C17" s="8">
        <f>SUMIF(Depenses[Catégorie],B17,Depenses[Montant])</f>
        <v>0</v>
      </c>
      <c r="E17" s="28" t="s">
        <v>31</v>
      </c>
      <c r="F17" s="18">
        <v>0</v>
      </c>
      <c r="G17" s="12">
        <f>SUMIF(Depenses[Catégorie],E17,Depenses[Montant])</f>
        <v>0</v>
      </c>
      <c r="H17" s="12">
        <f>G17-F17</f>
        <v>0</v>
      </c>
      <c r="J17" s="17">
        <f t="shared" si="0"/>
        <v>46204</v>
      </c>
      <c r="K17" s="12">
        <f>SUMIFS(Depenses[Montant],Depenses[Date],"&gt;="&amp;J17,Depenses[Date],"&lt;"&amp;EOMONTH(J17,0)+1)</f>
        <v>0</v>
      </c>
      <c r="L17" s="14">
        <f t="shared" si="1"/>
        <v>-1</v>
      </c>
    </row>
    <row r="18" spans="2:12" ht="15.6" x14ac:dyDescent="0.3">
      <c r="B18" s="28" t="s">
        <v>32</v>
      </c>
      <c r="C18" s="8">
        <f>SUMIF(Depenses[Catégorie],B18,Depenses[Montant])</f>
        <v>0</v>
      </c>
      <c r="E18" s="28" t="s">
        <v>32</v>
      </c>
      <c r="F18" s="18">
        <v>0</v>
      </c>
      <c r="G18" s="12">
        <f>SUMIF(Depenses[Catégorie],E18,Depenses[Montant])</f>
        <v>0</v>
      </c>
      <c r="H18" s="12">
        <f>G18-F18</f>
        <v>0</v>
      </c>
      <c r="J18" s="17">
        <f t="shared" si="0"/>
        <v>46235</v>
      </c>
      <c r="K18" s="12">
        <f>SUMIFS(Depenses[Montant],Depenses[Date],"&gt;="&amp;J18,Depenses[Date],"&lt;"&amp;EOMONTH(J18,0)+1)</f>
        <v>0</v>
      </c>
      <c r="L18" s="14" t="str">
        <f t="shared" si="1"/>
        <v>-</v>
      </c>
    </row>
    <row r="19" spans="2:12" ht="15.6" x14ac:dyDescent="0.3">
      <c r="B19" s="28" t="s">
        <v>33</v>
      </c>
      <c r="C19" s="8">
        <f>SUMIF(Depenses[Catégorie],B19,Depenses[Montant])</f>
        <v>0</v>
      </c>
      <c r="E19" s="28" t="s">
        <v>33</v>
      </c>
      <c r="F19" s="18">
        <v>0</v>
      </c>
      <c r="G19" s="12">
        <f>SUMIF(Depenses[Catégorie],E19,Depenses[Montant])</f>
        <v>0</v>
      </c>
      <c r="H19" s="12">
        <f>G19-F19</f>
        <v>0</v>
      </c>
      <c r="J19" s="17">
        <f t="shared" si="0"/>
        <v>46266</v>
      </c>
      <c r="K19" s="12">
        <f>SUMIFS(Depenses[Montant],Depenses[Date],"&gt;="&amp;J19,Depenses[Date],"&lt;"&amp;EOMONTH(J19,0)+1)</f>
        <v>0</v>
      </c>
      <c r="L19" s="14" t="str">
        <f t="shared" si="1"/>
        <v>-</v>
      </c>
    </row>
    <row r="20" spans="2:12" x14ac:dyDescent="0.3">
      <c r="B20" s="5" t="s">
        <v>9</v>
      </c>
      <c r="C20" s="9">
        <f>SUM(C10:C19)</f>
        <v>1000000</v>
      </c>
      <c r="E20" s="5" t="s">
        <v>23</v>
      </c>
      <c r="F20" s="15">
        <f>SUM(F10:F19)</f>
        <v>16600000</v>
      </c>
      <c r="G20" s="15">
        <f>SUM(G10:G19)</f>
        <v>1000000</v>
      </c>
      <c r="H20" s="15">
        <f>SUM(H10:H19)</f>
        <v>-15600000</v>
      </c>
      <c r="J20" s="17">
        <f t="shared" si="0"/>
        <v>46296</v>
      </c>
      <c r="K20" s="12">
        <f>SUMIFS(Depenses[Montant],Depenses[Date],"&gt;="&amp;J20,Depenses[Date],"&lt;"&amp;EOMONTH(J20,0)+1)</f>
        <v>0</v>
      </c>
      <c r="L20" s="14" t="str">
        <f t="shared" si="1"/>
        <v>-</v>
      </c>
    </row>
    <row r="21" spans="2:12" x14ac:dyDescent="0.3">
      <c r="J21" s="17">
        <f t="shared" si="0"/>
        <v>46327</v>
      </c>
      <c r="K21" s="12">
        <f>SUMIFS(Depenses[Montant],Depenses[Date],"&gt;="&amp;J21,Depenses[Date],"&lt;"&amp;EOMONTH(J21,0)+1)</f>
        <v>0</v>
      </c>
      <c r="L21" s="14" t="str">
        <f t="shared" si="1"/>
        <v>-</v>
      </c>
    </row>
    <row r="22" spans="2:12" x14ac:dyDescent="0.3">
      <c r="J22" s="17">
        <f t="shared" si="0"/>
        <v>46357</v>
      </c>
      <c r="K22" s="12">
        <f>SUMIFS(Depenses[Montant],Depenses[Date],"&gt;="&amp;J22,Depenses[Date],"&lt;"&amp;EOMONTH(J22,0)+1)</f>
        <v>0</v>
      </c>
      <c r="L22" s="14" t="str">
        <f t="shared" si="1"/>
        <v>-</v>
      </c>
    </row>
    <row r="23" spans="2:12" x14ac:dyDescent="0.3">
      <c r="J23" s="7"/>
      <c r="K23" s="7"/>
      <c r="L23" s="7"/>
    </row>
    <row r="24" spans="2:12" x14ac:dyDescent="0.3">
      <c r="J24" s="5" t="s">
        <v>19</v>
      </c>
      <c r="K24" s="15">
        <f>SUM(K11:K22)</f>
        <v>1000000</v>
      </c>
      <c r="L24" s="16"/>
    </row>
    <row r="26" spans="2:12" x14ac:dyDescent="0.3">
      <c r="B26" s="4" t="s">
        <v>10</v>
      </c>
      <c r="C26" s="4"/>
      <c r="D26" s="4"/>
      <c r="E26" s="4"/>
      <c r="F26" s="4"/>
    </row>
    <row r="27" spans="2:12" x14ac:dyDescent="0.3">
      <c r="B27" t="s">
        <v>11</v>
      </c>
      <c r="C27" t="s">
        <v>2</v>
      </c>
      <c r="D27" t="s">
        <v>12</v>
      </c>
      <c r="E27" t="s">
        <v>13</v>
      </c>
      <c r="F27" t="s">
        <v>14</v>
      </c>
    </row>
    <row r="28" spans="2:12" x14ac:dyDescent="0.3">
      <c r="B28" s="2">
        <v>46176</v>
      </c>
      <c r="C28" t="s">
        <v>5</v>
      </c>
      <c r="D28" t="s">
        <v>27</v>
      </c>
      <c r="E28" s="10">
        <v>1000000</v>
      </c>
      <c r="F28" s="10">
        <f>IF(E28="","",SUM($E$28:E28))</f>
        <v>1000000</v>
      </c>
    </row>
    <row r="29" spans="2:12" x14ac:dyDescent="0.3">
      <c r="B29" s="2"/>
      <c r="E29" s="10"/>
      <c r="F29" s="10" t="str">
        <f>IF(E29="","",SUM($E$28:E29))</f>
        <v/>
      </c>
    </row>
    <row r="30" spans="2:12" x14ac:dyDescent="0.3">
      <c r="B30" s="2"/>
      <c r="E30" s="10"/>
      <c r="F30" s="10" t="str">
        <f>IF(E30="","",SUM($E$28:E30))</f>
        <v/>
      </c>
    </row>
    <row r="31" spans="2:12" x14ac:dyDescent="0.3">
      <c r="B31" s="2"/>
      <c r="E31" s="10"/>
      <c r="F31" s="10" t="str">
        <f>IF(E31="","",SUM($E$28:E31))</f>
        <v/>
      </c>
    </row>
    <row r="32" spans="2:12" x14ac:dyDescent="0.3">
      <c r="B32" s="2"/>
      <c r="E32" s="10"/>
      <c r="F32" s="10" t="str">
        <f>IF(E32="","",SUM($E$28:E32))</f>
        <v/>
      </c>
    </row>
    <row r="33" spans="2:6" x14ac:dyDescent="0.3">
      <c r="B33" s="2"/>
      <c r="E33" s="10"/>
      <c r="F33" s="10" t="str">
        <f>IF(E33="","",SUM($E$28:E33))</f>
        <v/>
      </c>
    </row>
    <row r="34" spans="2:6" x14ac:dyDescent="0.3">
      <c r="B34" s="2"/>
      <c r="E34" s="10"/>
      <c r="F34" s="10" t="str">
        <f>IF(E34="","",SUM($E$28:E34))</f>
        <v/>
      </c>
    </row>
    <row r="35" spans="2:6" x14ac:dyDescent="0.3">
      <c r="B35" s="2"/>
      <c r="E35" s="10"/>
      <c r="F35" s="10" t="str">
        <f>IF(E35="","",SUM($E$28:E35))</f>
        <v/>
      </c>
    </row>
    <row r="36" spans="2:6" x14ac:dyDescent="0.3">
      <c r="B36" s="2"/>
      <c r="E36" s="10"/>
      <c r="F36" s="10" t="str">
        <f>IF(E36="","",SUM($E$28:E36))</f>
        <v/>
      </c>
    </row>
    <row r="37" spans="2:6" x14ac:dyDescent="0.3">
      <c r="B37" s="2"/>
      <c r="E37" s="10"/>
      <c r="F37" s="10" t="str">
        <f>IF(E37="","",SUM($E$28:E37))</f>
        <v/>
      </c>
    </row>
    <row r="38" spans="2:6" x14ac:dyDescent="0.3">
      <c r="B38" s="2"/>
      <c r="E38" s="10"/>
      <c r="F38" s="10" t="str">
        <f>IF(E38="","",SUM($E$28:E38))</f>
        <v/>
      </c>
    </row>
    <row r="39" spans="2:6" x14ac:dyDescent="0.3">
      <c r="B39" s="2"/>
      <c r="E39" s="10"/>
      <c r="F39" s="10" t="str">
        <f>IF(E39="","",SUM($E$28:E39))</f>
        <v/>
      </c>
    </row>
    <row r="40" spans="2:6" x14ac:dyDescent="0.3">
      <c r="B40" s="2"/>
      <c r="E40" s="10"/>
      <c r="F40" s="10" t="str">
        <f>IF(E40="","",SUM($E$28:E40))</f>
        <v/>
      </c>
    </row>
    <row r="41" spans="2:6" x14ac:dyDescent="0.3">
      <c r="B41" s="2"/>
      <c r="E41" s="10"/>
      <c r="F41" s="10" t="str">
        <f>IF(E41="","",SUM($E$28:E41))</f>
        <v/>
      </c>
    </row>
    <row r="42" spans="2:6" x14ac:dyDescent="0.3">
      <c r="B42" s="2"/>
      <c r="E42" s="10"/>
      <c r="F42" s="10" t="str">
        <f>IF(E42="","",SUM($E$28:E42))</f>
        <v/>
      </c>
    </row>
    <row r="43" spans="2:6" x14ac:dyDescent="0.3">
      <c r="B43" s="2"/>
      <c r="E43" s="10"/>
      <c r="F43" s="10" t="str">
        <f>IF(E43="","",SUM($E$28:E43))</f>
        <v/>
      </c>
    </row>
    <row r="44" spans="2:6" x14ac:dyDescent="0.3">
      <c r="B44" s="2"/>
      <c r="E44" s="10"/>
      <c r="F44" s="10" t="str">
        <f>IF(E44="","",SUM($E$28:E44))</f>
        <v/>
      </c>
    </row>
    <row r="45" spans="2:6" x14ac:dyDescent="0.3">
      <c r="B45" s="2"/>
      <c r="E45" s="10"/>
      <c r="F45" s="10" t="str">
        <f>IF(E45="","",SUM($E$28:E45))</f>
        <v/>
      </c>
    </row>
    <row r="46" spans="2:6" x14ac:dyDescent="0.3">
      <c r="B46" s="2"/>
      <c r="E46" s="10"/>
      <c r="F46" s="10" t="str">
        <f>IF(E46="","",SUM($E$28:E46))</f>
        <v/>
      </c>
    </row>
    <row r="47" spans="2:6" x14ac:dyDescent="0.3">
      <c r="B47" s="2"/>
      <c r="E47" s="10"/>
      <c r="F47" s="10" t="str">
        <f>IF(E47="","",SUM($E$28:E47))</f>
        <v/>
      </c>
    </row>
    <row r="48" spans="2:6" x14ac:dyDescent="0.3">
      <c r="B48" s="2"/>
      <c r="E48" s="10"/>
      <c r="F48" s="10" t="str">
        <f>IF(E48="","",SUM($E$28:E48))</f>
        <v/>
      </c>
    </row>
    <row r="49" spans="2:6" x14ac:dyDescent="0.3">
      <c r="B49" s="2"/>
      <c r="E49" s="10"/>
      <c r="F49" s="10" t="str">
        <f>IF(E49="","",SUM($E$28:E49))</f>
        <v/>
      </c>
    </row>
    <row r="50" spans="2:6" x14ac:dyDescent="0.3">
      <c r="B50" s="2"/>
      <c r="E50" s="10"/>
      <c r="F50" s="10" t="str">
        <f>IF(E50="","",SUM($E$28:E50))</f>
        <v/>
      </c>
    </row>
    <row r="51" spans="2:6" x14ac:dyDescent="0.3">
      <c r="B51" s="2"/>
      <c r="E51" s="10"/>
      <c r="F51" s="10" t="str">
        <f>IF(E51="","",SUM($E$28:E51))</f>
        <v/>
      </c>
    </row>
    <row r="52" spans="2:6" x14ac:dyDescent="0.3">
      <c r="B52" s="2"/>
      <c r="E52" s="10"/>
      <c r="F52" s="10" t="str">
        <f>IF(E52="","",SUM($E$28:E52))</f>
        <v/>
      </c>
    </row>
    <row r="53" spans="2:6" x14ac:dyDescent="0.3">
      <c r="B53" s="2"/>
      <c r="E53" s="10"/>
      <c r="F53" s="10" t="str">
        <f>IF(E53="","",SUM($E$28:E53))</f>
        <v/>
      </c>
    </row>
    <row r="54" spans="2:6" x14ac:dyDescent="0.3">
      <c r="B54" s="2"/>
      <c r="E54" s="10"/>
      <c r="F54" s="10" t="str">
        <f>IF(E54="","",SUM($E$28:E54))</f>
        <v/>
      </c>
    </row>
    <row r="55" spans="2:6" x14ac:dyDescent="0.3">
      <c r="B55" s="2"/>
      <c r="E55" s="10"/>
      <c r="F55" s="10" t="str">
        <f>IF(E55="","",SUM($E$28:E55))</f>
        <v/>
      </c>
    </row>
    <row r="56" spans="2:6" x14ac:dyDescent="0.3">
      <c r="B56" s="2"/>
      <c r="E56" s="10"/>
      <c r="F56" s="10" t="str">
        <f>IF(E56="","",SUM($E$28:E56))</f>
        <v/>
      </c>
    </row>
    <row r="57" spans="2:6" x14ac:dyDescent="0.3">
      <c r="B57" s="2"/>
      <c r="E57" s="10"/>
      <c r="F57" s="10" t="str">
        <f>IF(E57="","",SUM($E$28:E57))</f>
        <v/>
      </c>
    </row>
    <row r="76" spans="2:12" x14ac:dyDescent="0.3">
      <c r="B76" s="4" t="s">
        <v>28</v>
      </c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2:12" ht="28.05" customHeight="1" x14ac:dyDescent="0.3">
      <c r="B77" s="20" t="str">
        <f>E10&amp;" : "&amp;FIXED(G10,0)&amp;" FCFA dépensés sur un budget de "&amp;FIXED(F10,0)&amp;" FCFA, soit "&amp;TEXT(IFERROR(G10/F10,0),"0%")&amp;" du budget utilisé. Écart : "&amp;IF(H10&gt;=0,"+","")&amp;FIXED(H10,0)&amp;" FCFA"&amp;IF(H10&gt;0," (dépassement)",IF(H10&lt;0," (sous le budget)"," (à l'équilibre)"))</f>
        <v>Loyer : 0 FCFA dépensés sur un budget de 2 500 000 FCFA, soit 0% du budget utilisé. Écart : -2 500 000 FCFA (sous le budget)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2:12" ht="28.05" customHeight="1" x14ac:dyDescent="0.3">
      <c r="B78" s="20" t="str">
        <f>E11&amp;" : "&amp;FIXED(G11,0)&amp;" FCFA dépensés sur un budget de "&amp;FIXED(F11,0)&amp;" FCFA, soit "&amp;TEXT(IFERROR(G11/F11,0),"0%")&amp;" du budget utilisé. Écart : "&amp;IF(H11&gt;=0,"+","")&amp;FIXED(H11,0)&amp;" FCFA"&amp;IF(H11&gt;0," (dépassement)",IF(H11&lt;0," (sous le budget)"," (à l'équilibre)"))</f>
        <v>Charges : 1 000 000 FCFA dépensés sur un budget de 6 900 000 FCFA, soit 14% du budget utilisé. Écart : -5 900 000 FCFA (sous le budget)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2:12" ht="28.05" customHeight="1" x14ac:dyDescent="0.3">
      <c r="B79" s="20" t="str">
        <f>E12&amp;" : "&amp;FIXED(G12,0)&amp;" FCFA dépensés sur un budget de "&amp;FIXED(F12,0)&amp;" FCFA, soit "&amp;TEXT(IFERROR(G12/F12,0),"0%")&amp;" du budget utilisé. Écart : "&amp;IF(H12&gt;=0,"+","")&amp;FIXED(H12,0)&amp;" FCFA"&amp;IF(H12&gt;0," (dépassement)",IF(H12&lt;0," (sous le budget)"," (à l'équilibre)"))</f>
        <v>Fournitures : 0 FCFA dépensés sur un budget de 1 500 000 FCFA, soit 0% du budget utilisé. Écart : -1 500 000 FCFA (sous le budget)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2:12" ht="28.05" customHeight="1" x14ac:dyDescent="0.3">
      <c r="B80" s="20" t="str">
        <f>E13&amp;" : "&amp;FIXED(G13,0)&amp;" FCFA dépensés sur un budget de "&amp;FIXED(F13,0)&amp;" FCFA, soit "&amp;TEXT(IFERROR(G13/F13,0),"0%")&amp;" du budget utilisé. Écart : "&amp;IF(H13&gt;=0,"+","")&amp;FIXED(H13,0)&amp;" FCFA"&amp;IF(H13&gt;0," (dépassement)",IF(H13&lt;0," (sous le budget)"," (à l'équilibre)"))</f>
        <v>Marketing : 0 FCFA dépensés sur un budget de 3 500 000 FCFA, soit 0% du budget utilisé. Écart : -3 500 000 FCFA (sous le budget)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2:12" ht="28.05" customHeight="1" x14ac:dyDescent="0.3">
      <c r="B81" s="20" t="str">
        <f>E14&amp;" : "&amp;FIXED(G14,0)&amp;" FCFA dépensés sur un budget de "&amp;FIXED(F14,0)&amp;" FCFA, soit "&amp;TEXT(IFERROR(G14/F14,0),"0%")&amp;" du budget utilisé. Écart : "&amp;IF(H14&gt;=0,"+","")&amp;FIXED(H14,0)&amp;" FCFA"&amp;IF(H14&gt;0," (dépassement)",IF(H14&lt;0," (sous le budget)"," (à l'équilibre)"))</f>
        <v>Autres : 0 FCFA dépensés sur un budget de 2 200 000 FCFA, soit 0% du budget utilisé. Écart : -2 200 000 FCFA (sous le budget)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2:12" ht="28.05" customHeight="1" x14ac:dyDescent="0.3">
      <c r="B82" s="20" t="str">
        <f>E15&amp;" : "&amp;FIXED(G15,0)&amp;" FCFA dépensés sur un budget de "&amp;FIXED(F15,0)&amp;" FCFA, soit "&amp;TEXT(IFERROR(G15/F15,0),"0%")&amp;" du budget utilisé. Écart : "&amp;IF(H15&gt;=0,"+","")&amp;FIXED(H15,0)&amp;" FCFA"&amp;IF(H15&gt;0," (dépassement)",IF(H15&lt;0," (sous le budget)"," (à l'équilibre)"))</f>
        <v>Autre 1 : 0 FCFA dépensés sur un budget de 0 FCFA, soit 0% du budget utilisé. Écart : +0 FCFA (à l'équilibre)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2:12" ht="28.05" customHeight="1" x14ac:dyDescent="0.3">
      <c r="B83" s="20" t="str">
        <f>E16&amp;" : "&amp;FIXED(G16,0)&amp;" FCFA dépensés sur un budget de "&amp;FIXED(F16,0)&amp;" FCFA, soit "&amp;TEXT(IFERROR(G16/F16,0),"0%")&amp;" du budget utilisé. Écart : "&amp;IF(H16&gt;=0,"+","")&amp;FIXED(H16,0)&amp;" FCFA"&amp;IF(H16&gt;0," (dépassement)",IF(H16&lt;0," (sous le budget)"," (à l'équilibre)"))</f>
        <v>Autre 2 : 0 FCFA dépensés sur un budget de 0 FCFA, soit 0% du budget utilisé. Écart : +0 FCFA (à l'équilibre)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2:12" ht="28.05" customHeight="1" x14ac:dyDescent="0.3">
      <c r="B84" s="20" t="str">
        <f>E17&amp;" : "&amp;FIXED(G17,0)&amp;" FCFA dépensés sur un budget de "&amp;FIXED(F17,0)&amp;" FCFA, soit "&amp;TEXT(IFERROR(G17/F17,0),"0%")&amp;" du budget utilisé. Écart : "&amp;IF(H17&gt;=0,"+","")&amp;FIXED(H17,0)&amp;" FCFA"&amp;IF(H17&gt;0," (dépassement)",IF(H17&lt;0," (sous le budget)"," (à l'équilibre)"))</f>
        <v>Autre 3 : 0 FCFA dépensés sur un budget de 0 FCFA, soit 0% du budget utilisé. Écart : +0 FCFA (à l'équilibre)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2:12" ht="28.05" customHeight="1" x14ac:dyDescent="0.3">
      <c r="B85" s="20" t="str">
        <f>E18&amp;" : "&amp;FIXED(G18,0)&amp;" FCFA dépensés sur un budget de "&amp;FIXED(F18,0)&amp;" FCFA, soit "&amp;TEXT(IFERROR(G18/F18,0),"0%")&amp;" du budget utilisé. Écart : "&amp;IF(H18&gt;=0,"+","")&amp;FIXED(H18,0)&amp;" FCFA"&amp;IF(H18&gt;0," (dépassement)",IF(H18&lt;0," (sous le budget)"," (à l'équilibre)"))</f>
        <v>Autre 4 : 0 FCFA dépensés sur un budget de 0 FCFA, soit 0% du budget utilisé. Écart : +0 FCFA (à l'équilibre)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2:12" ht="28.05" customHeight="1" x14ac:dyDescent="0.3">
      <c r="B86" s="20" t="str">
        <f>E19&amp;" : "&amp;FIXED(G19,0)&amp;" FCFA dépensés sur un budget de "&amp;FIXED(F19,0)&amp;" FCFA, soit "&amp;TEXT(IFERROR(G19/F19,0),"0%")&amp;" du budget utilisé. Écart : "&amp;IF(H19&gt;=0,"+","")&amp;FIXED(H19,0)&amp;" FCFA"&amp;IF(H19&gt;0," (dépassement)",IF(H19&lt;0," (sous le budget)"," (à l'équilibre)"))</f>
        <v>Autre 5 : 0 FCFA dépensés sur un budget de 0 FCFA, soit 0% du budget utilisé. Écart : +0 FCFA (à l'équilibre)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2:12" ht="28.05" customHeight="1" x14ac:dyDescent="0.3">
      <c r="B87" s="21" t="str">
        <f>"TOTAL : "&amp;FIXED(G20,0)&amp;" FCFA dépensés sur un budget global de "&amp;FIXED(F20,0)&amp;" FCFA, soit "&amp;TEXT(IFERROR(G20/F20,0),"0%")&amp;" du budget utilisé. Écart global : "&amp;IF(H20&gt;=0,"+","")&amp;FIXED(H20,0)&amp;" FCFA"&amp;IF(H20&gt;0," (dépassement globale)",IF(H20&lt;0," (sous le budget global)"," (à l'équilibre)"))</f>
        <v>TOTAL : 1 000 000 FCFA dépensés sur un budget global de 16 600 000 FCFA, soit 6% du budget utilisé. Écart global : -15 600 000 FCFA (sous le budget global)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</row>
  </sheetData>
  <mergeCells count="22">
    <mergeCell ref="B1:C5"/>
    <mergeCell ref="F1:H1"/>
    <mergeCell ref="F2:H2"/>
    <mergeCell ref="F3:H3"/>
    <mergeCell ref="F4:H4"/>
    <mergeCell ref="B87:L87"/>
    <mergeCell ref="B82:L82"/>
    <mergeCell ref="B83:L83"/>
    <mergeCell ref="B84:L84"/>
    <mergeCell ref="B85:L85"/>
    <mergeCell ref="B86:L86"/>
    <mergeCell ref="B76:L76"/>
    <mergeCell ref="B77:L77"/>
    <mergeCell ref="B78:L78"/>
    <mergeCell ref="B79:L79"/>
    <mergeCell ref="B80:L80"/>
    <mergeCell ref="B81:L81"/>
    <mergeCell ref="B6:F6"/>
    <mergeCell ref="B8:C8"/>
    <mergeCell ref="B26:F26"/>
    <mergeCell ref="J8:L8"/>
    <mergeCell ref="E8:H8"/>
  </mergeCells>
  <conditionalFormatting sqref="G10:G20">
    <cfRule type="expression" dxfId="13" priority="1">
      <formula>G10&gt;F10</formula>
    </cfRule>
  </conditionalFormatting>
  <conditionalFormatting sqref="H10:H20">
    <cfRule type="expression" dxfId="12" priority="2">
      <formula>H10&gt;0</formula>
    </cfRule>
  </conditionalFormatting>
  <conditionalFormatting sqref="B77">
    <cfRule type="expression" dxfId="11" priority="3">
      <formula>H10&gt;0</formula>
    </cfRule>
  </conditionalFormatting>
  <conditionalFormatting sqref="B78">
    <cfRule type="expression" dxfId="10" priority="4">
      <formula>H11&gt;0</formula>
    </cfRule>
  </conditionalFormatting>
  <conditionalFormatting sqref="B79">
    <cfRule type="expression" dxfId="9" priority="5">
      <formula>H12&gt;0</formula>
    </cfRule>
  </conditionalFormatting>
  <conditionalFormatting sqref="B80">
    <cfRule type="expression" dxfId="8" priority="6">
      <formula>H13&gt;0</formula>
    </cfRule>
  </conditionalFormatting>
  <conditionalFormatting sqref="B82">
    <cfRule type="expression" dxfId="5" priority="7">
      <formula>H15&gt;0</formula>
    </cfRule>
  </conditionalFormatting>
  <conditionalFormatting sqref="B83">
    <cfRule type="expression" dxfId="4" priority="8">
      <formula>H16&gt;0</formula>
    </cfRule>
  </conditionalFormatting>
  <conditionalFormatting sqref="B84">
    <cfRule type="expression" dxfId="3" priority="9">
      <formula>H17&gt;0</formula>
    </cfRule>
  </conditionalFormatting>
  <conditionalFormatting sqref="B85">
    <cfRule type="expression" dxfId="2" priority="10">
      <formula>H18&gt;0</formula>
    </cfRule>
  </conditionalFormatting>
  <conditionalFormatting sqref="B86">
    <cfRule type="expression" dxfId="1" priority="11">
      <formula>H19&gt;0</formula>
    </cfRule>
  </conditionalFormatting>
  <conditionalFormatting sqref="B87">
    <cfRule type="expression" dxfId="0" priority="12">
      <formula>H20&gt;0</formula>
    </cfRule>
  </conditionalFormatting>
  <dataValidations count="1">
    <dataValidation type="list" allowBlank="1" showInputMessage="1" showErrorMessage="1" sqref="C28:C57" xr:uid="{AF066B37-D72D-45CD-9C53-AB3826426C89}">
      <formula1>"Loyer,Charges,Fournitures,Marketing,Autres,Autre 1,Autre 2,Autre 3,Autre 4,Autre 5"</formula1>
    </dataValidation>
  </dataValidations>
  <printOptions horizontalCentered="1"/>
  <pageMargins left="0.7" right="0.7" top="0.75" bottom="0.75" header="0.3" footer="0.3"/>
  <pageSetup paperSize="9" scale="59" fitToHeight="0" orientation="landscape" verticalDpi="0" r:id="rId1"/>
  <rowBreaks count="2" manualBreakCount="2">
    <brk id="25" max="16383" man="1"/>
    <brk id="58" max="16383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Kossi Olivier DASSILENOU</dc:creator>
  <cp:lastModifiedBy>Kossi Olivier DASSILENOU</cp:lastModifiedBy>
  <cp:lastPrinted>2026-07-24T23:04:24Z</cp:lastPrinted>
  <dcterms:created xsi:type="dcterms:W3CDTF">2026-07-24T21:10:12Z</dcterms:created>
  <dcterms:modified xsi:type="dcterms:W3CDTF">2026-07-24T23:13:37Z</dcterms:modified>
</cp:coreProperties>
</file>